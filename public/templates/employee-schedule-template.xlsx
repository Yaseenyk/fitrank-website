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hifts" sheetId="2" state="visible" r:id="rId2"/>
    <sheet xmlns:r="http://schemas.openxmlformats.org/officeDocument/2006/relationships" name="Weekly" sheetId="3" state="visible" r:id="rId3"/>
    <sheet xmlns:r="http://schemas.openxmlformats.org/officeDocument/2006/relationships" name="Monthly" sheetId="4" state="visible" r:id="rId4"/>
  </sheets>
  <definedNames>
    <definedName name="_xlnm.Print_Titles" localSheetId="2">'Weekly'!$4:$4</definedName>
    <definedName name="_xlnm.Print_Titles" localSheetId="3">'Monthly'!$4:$4</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b val="1"/>
      <color rgb="001C1A33"/>
      <sz val="16"/>
    </font>
    <font>
      <name val="Calibri"/>
      <i val="1"/>
      <color rgb="006B6987"/>
      <sz val="10"/>
    </font>
    <font>
      <name val="Calibri"/>
      <b val="1"/>
      <color rgb="001C1A33"/>
    </font>
    <font>
      <name val="Calibri"/>
      <b val="1"/>
      <color rgb="00FFFFFF"/>
      <sz val="11"/>
    </font>
  </fonts>
  <fills count="4">
    <fill>
      <patternFill/>
    </fill>
    <fill>
      <patternFill patternType="gray125"/>
    </fill>
    <fill>
      <patternFill patternType="solid">
        <fgColor rgb="006551F0"/>
      </patternFill>
    </fill>
    <fill>
      <patternFill patternType="solid">
        <fgColor rgb="00F5F3FB"/>
      </patternFill>
    </fill>
  </fills>
  <borders count="2">
    <border>
      <left/>
      <right/>
      <top/>
      <bottom/>
      <diagonal/>
    </border>
    <border>
      <left style="thin">
        <color rgb="00E3E0F2"/>
      </left>
      <right style="thin">
        <color rgb="00E3E0F2"/>
      </right>
      <top style="thin">
        <color rgb="00E3E0F2"/>
      </top>
      <bottom style="thin">
        <color rgb="00E3E0F2"/>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pivotButton="0" quotePrefix="0" xfId="0"/>
    <xf numFmtId="164" fontId="0" fillId="0" borderId="1" applyAlignment="1" pivotButton="0" quotePrefix="0" xfId="0">
      <alignment horizontal="center" vertical="center"/>
    </xf>
    <xf numFmtId="0" fontId="3" fillId="0" borderId="0" applyAlignment="1" pivotButton="0" quotePrefix="0" xfId="0">
      <alignment horizontal="left"/>
    </xf>
    <xf numFmtId="0" fontId="0" fillId="3" borderId="1" applyAlignment="1" pivotButton="0" quotePrefix="0" xfId="0">
      <alignment horizontal="center" vertical="center"/>
    </xf>
    <xf numFmtId="0" fontId="3" fillId="0" borderId="1" pivotButton="0" quotePrefix="0" xfId="0"/>
    <xf numFmtId="164" fontId="3"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0" customWidth="1" min="1" max="1"/>
  </cols>
  <sheetData>
    <row r="1">
      <c r="A1" s="1" t="inlineStr">
        <is>
          <t>Employee schedule template</t>
        </is>
      </c>
    </row>
    <row r="2">
      <c r="A2" s="2" t="inlineStr">
        <is>
          <t>Free weekly and monthly staff schedule template. From FitRank: fitrank.streamerosai.com/tools/employee-schedule-template-excel/</t>
        </is>
      </c>
    </row>
    <row r="3">
      <c r="A3" s="3" t="inlineStr"/>
    </row>
    <row r="4">
      <c r="A4" s="4" t="inlineStr">
        <is>
          <t>How to use it</t>
        </is>
      </c>
    </row>
    <row r="5">
      <c r="A5" s="3" t="inlineStr">
        <is>
          <t>1. Shifts sheet: set your own shift codes, names and start and end times. Hours per shift are worked out for you, including night shifts that cross midnight.</t>
        </is>
      </c>
    </row>
    <row r="6">
      <c r="A6" s="3" t="inlineStr">
        <is>
          <t>2. Weekly sheet: type one shift code per employee per day, from the drop-down or by hand. Hours, shift counts and days off update by formula.</t>
        </is>
      </c>
    </row>
    <row r="7">
      <c r="A7" s="3" t="inlineStr">
        <is>
          <t>3. Monthly sheet: type the month's first day in B2 (for example 2026-11-01). Day names and the 29th to 31st follow the month. One code per employee per day.</t>
        </is>
      </c>
    </row>
    <row r="8">
      <c r="A8" s="3" t="inlineStr">
        <is>
          <t>4. Add employees by inserting rows above the Total row, so the totals and coverage counts keep covering everyone.</t>
        </is>
      </c>
    </row>
    <row r="9">
      <c r="A9" s="3" t="inlineStr">
        <is>
          <t>5. Print: each grid is set to fit one landscape page wide. Save a copy per week or per month.</t>
        </is>
      </c>
    </row>
    <row r="10">
      <c r="A10" s="3" t="inlineStr"/>
    </row>
    <row r="11">
      <c r="A11" s="4" t="inlineStr">
        <is>
          <t>What the formulas check</t>
        </is>
      </c>
    </row>
    <row r="12">
      <c r="A12" s="3" t="inlineStr">
        <is>
          <t>- Hours per employee for the week or month, from the shift codes and the Shifts sheet.</t>
        </is>
      </c>
    </row>
    <row r="13">
      <c r="A13" s="3" t="inlineStr">
        <is>
          <t>- Coverage: how many people hold each shift on each day, so an empty shift shows before the week starts.</t>
        </is>
      </c>
    </row>
    <row r="14">
      <c r="A14" s="3" t="inlineStr">
        <is>
          <t>- Days off per employee (OFF, leave and blank days).</t>
        </is>
      </c>
    </row>
    <row r="15">
      <c r="A15" s="3" t="inlineStr"/>
    </row>
    <row r="16">
      <c r="A16" s="4" t="inlineStr">
        <is>
          <t>What it does not do</t>
        </is>
      </c>
    </row>
    <row r="17">
      <c r="A17" s="3" t="inlineStr">
        <is>
          <t>A spreadsheet records a schedule; it does not choose one. It will not pick who should take an open shift, check skills, or explain a choice.</t>
        </is>
      </c>
    </row>
    <row r="18">
      <c r="A18" s="3" t="inlineStr">
        <is>
          <t>FitRank ranks your people for open tasks with a probability and a reason for each, and a manager makes every final call: fitrank.streamerosai.com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10" customWidth="1" min="3" max="3"/>
    <col width="10" customWidth="1" min="4" max="4"/>
    <col width="10" customWidth="1" min="5" max="5"/>
  </cols>
  <sheetData>
    <row r="1">
      <c r="A1" s="5" t="inlineStr">
        <is>
          <t>Shift codes</t>
        </is>
      </c>
    </row>
    <row r="2">
      <c r="A2" s="6" t="inlineStr">
        <is>
          <t>Edit codes and times here (times as text, 24-hour, e.g. 22:00). Hours are worked out; a shift that ends after midnight is handled.</t>
        </is>
      </c>
    </row>
    <row r="4">
      <c r="A4" s="7" t="inlineStr">
        <is>
          <t>Code</t>
        </is>
      </c>
      <c r="B4" s="7" t="inlineStr">
        <is>
          <t>Shift</t>
        </is>
      </c>
      <c r="C4" s="7" t="inlineStr">
        <is>
          <t>Start</t>
        </is>
      </c>
      <c r="D4" s="7" t="inlineStr">
        <is>
          <t>End</t>
        </is>
      </c>
      <c r="E4" s="7" t="inlineStr">
        <is>
          <t>Hours</t>
        </is>
      </c>
    </row>
    <row r="5">
      <c r="A5" s="8" t="inlineStr">
        <is>
          <t>M</t>
        </is>
      </c>
      <c r="B5" s="9" t="inlineStr">
        <is>
          <t>Morning</t>
        </is>
      </c>
      <c r="C5" s="8" t="inlineStr">
        <is>
          <t>06:00</t>
        </is>
      </c>
      <c r="D5" s="8" t="inlineStr">
        <is>
          <t>14:00</t>
        </is>
      </c>
      <c r="E5" s="10">
        <f>IF(OR(C5="",D5=""),0,MOD(TIMEVALUE(D5)-TIMEVALUE(C5),1)*24)</f>
        <v/>
      </c>
    </row>
    <row r="6">
      <c r="A6" s="8" t="inlineStr">
        <is>
          <t>D</t>
        </is>
      </c>
      <c r="B6" s="9" t="inlineStr">
        <is>
          <t>Day</t>
        </is>
      </c>
      <c r="C6" s="8" t="inlineStr">
        <is>
          <t>09:00</t>
        </is>
      </c>
      <c r="D6" s="8" t="inlineStr">
        <is>
          <t>17:00</t>
        </is>
      </c>
      <c r="E6" s="10">
        <f>IF(OR(C6="",D6=""),0,MOD(TIMEVALUE(D6)-TIMEVALUE(C6),1)*24)</f>
        <v/>
      </c>
    </row>
    <row r="7">
      <c r="A7" s="8" t="inlineStr">
        <is>
          <t>E</t>
        </is>
      </c>
      <c r="B7" s="9" t="inlineStr">
        <is>
          <t>Evening</t>
        </is>
      </c>
      <c r="C7" s="8" t="inlineStr">
        <is>
          <t>14:00</t>
        </is>
      </c>
      <c r="D7" s="8" t="inlineStr">
        <is>
          <t>22:00</t>
        </is>
      </c>
      <c r="E7" s="10">
        <f>IF(OR(C7="",D7=""),0,MOD(TIMEVALUE(D7)-TIMEVALUE(C7),1)*24)</f>
        <v/>
      </c>
    </row>
    <row r="8">
      <c r="A8" s="8" t="inlineStr">
        <is>
          <t>N</t>
        </is>
      </c>
      <c r="B8" s="9" t="inlineStr">
        <is>
          <t>Night</t>
        </is>
      </c>
      <c r="C8" s="8" t="inlineStr">
        <is>
          <t>22:00</t>
        </is>
      </c>
      <c r="D8" s="8" t="inlineStr">
        <is>
          <t>06:00</t>
        </is>
      </c>
      <c r="E8" s="10">
        <f>IF(OR(C8="",D8=""),0,MOD(TIMEVALUE(D8)-TIMEVALUE(C8),1)*24)</f>
        <v/>
      </c>
    </row>
    <row r="9">
      <c r="A9" s="8" t="inlineStr">
        <is>
          <t>OFF</t>
        </is>
      </c>
      <c r="B9" s="9" t="inlineStr">
        <is>
          <t>Day off</t>
        </is>
      </c>
      <c r="C9" s="8" t="inlineStr"/>
      <c r="D9" s="8" t="inlineStr"/>
      <c r="E9" s="10">
        <f>IF(OR(C9="",D9=""),0,MOD(TIMEVALUE(D9)-TIMEVALUE(C9),1)*24)</f>
        <v/>
      </c>
    </row>
    <row r="10">
      <c r="A10" s="8" t="inlineStr">
        <is>
          <t>L</t>
        </is>
      </c>
      <c r="B10" s="9" t="inlineStr">
        <is>
          <t>Leave</t>
        </is>
      </c>
      <c r="C10" s="8" t="inlineStr"/>
      <c r="D10" s="8" t="inlineStr"/>
      <c r="E10" s="10">
        <f>IF(OR(C10="",D10=""),0,MOD(TIMEVALUE(D10)-TIMEVALUE(C10),1)*24)</f>
        <v/>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K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7" customWidth="1" min="3" max="3"/>
    <col width="7" customWidth="1" min="4" max="4"/>
    <col width="7" customWidth="1" min="5" max="5"/>
    <col width="7" customWidth="1" min="6" max="6"/>
    <col width="7" customWidth="1" min="7" max="7"/>
    <col width="7" customWidth="1" min="8" max="8"/>
    <col width="9" customWidth="1" min="9" max="9"/>
    <col width="9" customWidth="1" min="10" max="10"/>
    <col width="10" customWidth="1" min="11" max="11"/>
  </cols>
  <sheetData>
    <row r="1">
      <c r="A1" s="5" t="inlineStr">
        <is>
          <t>Weekly employee schedule</t>
        </is>
      </c>
    </row>
    <row r="2">
      <c r="A2" s="6" t="inlineStr">
        <is>
          <t>Week starting:</t>
        </is>
      </c>
      <c r="B2" s="11" t="inlineStr">
        <is>
          <t>2026-11-02</t>
        </is>
      </c>
      <c r="D2" s="6" t="inlineStr">
        <is>
          <t>One shift code per person per day (see the Shifts sheet). Hours, shift counts and coverage update by formula.</t>
        </is>
      </c>
    </row>
    <row r="4">
      <c r="A4" s="7" t="inlineStr">
        <is>
          <t>Employee</t>
        </is>
      </c>
      <c r="B4" s="7" t="inlineStr">
        <is>
          <t>Mon</t>
        </is>
      </c>
      <c r="C4" s="7" t="inlineStr">
        <is>
          <t>Tue</t>
        </is>
      </c>
      <c r="D4" s="7" t="inlineStr">
        <is>
          <t>Wed</t>
        </is>
      </c>
      <c r="E4" s="7" t="inlineStr">
        <is>
          <t>Thu</t>
        </is>
      </c>
      <c r="F4" s="7" t="inlineStr">
        <is>
          <t>Fri</t>
        </is>
      </c>
      <c r="G4" s="7" t="inlineStr">
        <is>
          <t>Sat</t>
        </is>
      </c>
      <c r="H4" s="7" t="inlineStr">
        <is>
          <t>Sun</t>
        </is>
      </c>
      <c r="I4" s="7" t="inlineStr">
        <is>
          <t>Hours</t>
        </is>
      </c>
      <c r="J4" s="7" t="inlineStr">
        <is>
          <t>Shifts</t>
        </is>
      </c>
      <c r="K4" s="7" t="inlineStr">
        <is>
          <t>Days off</t>
        </is>
      </c>
    </row>
    <row r="5">
      <c r="A5" s="9" t="inlineStr">
        <is>
          <t>Employee 1</t>
        </is>
      </c>
      <c r="B5" s="8" t="inlineStr">
        <is>
          <t>M</t>
        </is>
      </c>
      <c r="C5" s="8" t="inlineStr">
        <is>
          <t>M</t>
        </is>
      </c>
      <c r="D5" s="8" t="inlineStr">
        <is>
          <t>M</t>
        </is>
      </c>
      <c r="E5" s="8" t="inlineStr">
        <is>
          <t>M</t>
        </is>
      </c>
      <c r="F5" s="8" t="inlineStr">
        <is>
          <t>M</t>
        </is>
      </c>
      <c r="G5" s="12" t="inlineStr">
        <is>
          <t>OFF</t>
        </is>
      </c>
      <c r="H5" s="12" t="inlineStr">
        <is>
          <t>OFF</t>
        </is>
      </c>
      <c r="I5" s="10">
        <f>SUMPRODUCT(COUNTIF(B5:H5,Shifts!$A$5:$A$10)*Shifts!$E$5:$E$10)</f>
        <v/>
      </c>
      <c r="J5" s="8">
        <f>COUNTA(B5:H5)-COUNTIF(B5:H5,"OFF")-COUNTIF(B5:H5,"L")</f>
        <v/>
      </c>
      <c r="K5" s="8">
        <f>COUNTIF(B5:H5,"OFF")+COUNTIF(B5:H5,"L")+COUNTBLANK(B5:H5)</f>
        <v/>
      </c>
    </row>
    <row r="6">
      <c r="A6" s="9" t="inlineStr">
        <is>
          <t>Employee 2</t>
        </is>
      </c>
      <c r="B6" s="8" t="inlineStr">
        <is>
          <t>D</t>
        </is>
      </c>
      <c r="C6" s="8" t="inlineStr">
        <is>
          <t>D</t>
        </is>
      </c>
      <c r="D6" s="8" t="inlineStr">
        <is>
          <t>D</t>
        </is>
      </c>
      <c r="E6" s="8" t="inlineStr">
        <is>
          <t>OFF</t>
        </is>
      </c>
      <c r="F6" s="8" t="inlineStr">
        <is>
          <t>OFF</t>
        </is>
      </c>
      <c r="G6" s="12" t="inlineStr">
        <is>
          <t>D</t>
        </is>
      </c>
      <c r="H6" s="12" t="inlineStr">
        <is>
          <t>D</t>
        </is>
      </c>
      <c r="I6" s="10">
        <f>SUMPRODUCT(COUNTIF(B6:H6,Shifts!$A$5:$A$10)*Shifts!$E$5:$E$10)</f>
        <v/>
      </c>
      <c r="J6" s="8">
        <f>COUNTA(B6:H6)-COUNTIF(B6:H6,"OFF")-COUNTIF(B6:H6,"L")</f>
        <v/>
      </c>
      <c r="K6" s="8">
        <f>COUNTIF(B6:H6,"OFF")+COUNTIF(B6:H6,"L")+COUNTBLANK(B6:H6)</f>
        <v/>
      </c>
    </row>
    <row r="7">
      <c r="A7" s="9" t="inlineStr">
        <is>
          <t>Employee 3</t>
        </is>
      </c>
      <c r="B7" s="8" t="inlineStr">
        <is>
          <t>E</t>
        </is>
      </c>
      <c r="C7" s="8" t="inlineStr">
        <is>
          <t>E</t>
        </is>
      </c>
      <c r="D7" s="8" t="inlineStr">
        <is>
          <t>OFF</t>
        </is>
      </c>
      <c r="E7" s="8" t="inlineStr">
        <is>
          <t>OFF</t>
        </is>
      </c>
      <c r="F7" s="8" t="inlineStr">
        <is>
          <t>E</t>
        </is>
      </c>
      <c r="G7" s="12" t="inlineStr">
        <is>
          <t>E</t>
        </is>
      </c>
      <c r="H7" s="12" t="inlineStr">
        <is>
          <t>E</t>
        </is>
      </c>
      <c r="I7" s="10">
        <f>SUMPRODUCT(COUNTIF(B7:H7,Shifts!$A$5:$A$10)*Shifts!$E$5:$E$10)</f>
        <v/>
      </c>
      <c r="J7" s="8">
        <f>COUNTA(B7:H7)-COUNTIF(B7:H7,"OFF")-COUNTIF(B7:H7,"L")</f>
        <v/>
      </c>
      <c r="K7" s="8">
        <f>COUNTIF(B7:H7,"OFF")+COUNTIF(B7:H7,"L")+COUNTBLANK(B7:H7)</f>
        <v/>
      </c>
    </row>
    <row r="8">
      <c r="A8" s="9" t="inlineStr">
        <is>
          <t>Employee 4</t>
        </is>
      </c>
      <c r="B8" s="8" t="inlineStr">
        <is>
          <t>N</t>
        </is>
      </c>
      <c r="C8" s="8" t="inlineStr">
        <is>
          <t>N</t>
        </is>
      </c>
      <c r="D8" s="8" t="inlineStr">
        <is>
          <t>N</t>
        </is>
      </c>
      <c r="E8" s="8" t="inlineStr">
        <is>
          <t>N</t>
        </is>
      </c>
      <c r="F8" s="8" t="inlineStr">
        <is>
          <t>OFF</t>
        </is>
      </c>
      <c r="G8" s="12" t="inlineStr">
        <is>
          <t>OFF</t>
        </is>
      </c>
      <c r="H8" s="12" t="inlineStr">
        <is>
          <t>OFF</t>
        </is>
      </c>
      <c r="I8" s="10">
        <f>SUMPRODUCT(COUNTIF(B8:H8,Shifts!$A$5:$A$10)*Shifts!$E$5:$E$10)</f>
        <v/>
      </c>
      <c r="J8" s="8">
        <f>COUNTA(B8:H8)-COUNTIF(B8:H8,"OFF")-COUNTIF(B8:H8,"L")</f>
        <v/>
      </c>
      <c r="K8" s="8">
        <f>COUNTIF(B8:H8,"OFF")+COUNTIF(B8:H8,"L")+COUNTBLANK(B8:H8)</f>
        <v/>
      </c>
    </row>
    <row r="9">
      <c r="A9" s="9" t="inlineStr">
        <is>
          <t>Employee 5</t>
        </is>
      </c>
      <c r="B9" s="8" t="inlineStr">
        <is>
          <t>OFF</t>
        </is>
      </c>
      <c r="C9" s="8" t="inlineStr">
        <is>
          <t>OFF</t>
        </is>
      </c>
      <c r="D9" s="8" t="inlineStr">
        <is>
          <t>M</t>
        </is>
      </c>
      <c r="E9" s="8" t="inlineStr">
        <is>
          <t>M</t>
        </is>
      </c>
      <c r="F9" s="8" t="inlineStr">
        <is>
          <t>M</t>
        </is>
      </c>
      <c r="G9" s="12" t="inlineStr">
        <is>
          <t>M</t>
        </is>
      </c>
      <c r="H9" s="12" t="inlineStr">
        <is>
          <t>M</t>
        </is>
      </c>
      <c r="I9" s="10">
        <f>SUMPRODUCT(COUNTIF(B9:H9,Shifts!$A$5:$A$10)*Shifts!$E$5:$E$10)</f>
        <v/>
      </c>
      <c r="J9" s="8">
        <f>COUNTA(B9:H9)-COUNTIF(B9:H9,"OFF")-COUNTIF(B9:H9,"L")</f>
        <v/>
      </c>
      <c r="K9" s="8">
        <f>COUNTIF(B9:H9,"OFF")+COUNTIF(B9:H9,"L")+COUNTBLANK(B9:H9)</f>
        <v/>
      </c>
    </row>
    <row r="10">
      <c r="A10" s="9" t="inlineStr">
        <is>
          <t>Employee 6</t>
        </is>
      </c>
      <c r="B10" s="8" t="inlineStr">
        <is>
          <t>D</t>
        </is>
      </c>
      <c r="C10" s="8" t="inlineStr">
        <is>
          <t>OFF</t>
        </is>
      </c>
      <c r="D10" s="8" t="inlineStr">
        <is>
          <t>OFF</t>
        </is>
      </c>
      <c r="E10" s="8" t="inlineStr">
        <is>
          <t>D</t>
        </is>
      </c>
      <c r="F10" s="8" t="inlineStr">
        <is>
          <t>D</t>
        </is>
      </c>
      <c r="G10" s="12" t="inlineStr">
        <is>
          <t>D</t>
        </is>
      </c>
      <c r="H10" s="12" t="inlineStr">
        <is>
          <t>D</t>
        </is>
      </c>
      <c r="I10" s="10">
        <f>SUMPRODUCT(COUNTIF(B10:H10,Shifts!$A$5:$A$10)*Shifts!$E$5:$E$10)</f>
        <v/>
      </c>
      <c r="J10" s="8">
        <f>COUNTA(B10:H10)-COUNTIF(B10:H10,"OFF")-COUNTIF(B10:H10,"L")</f>
        <v/>
      </c>
      <c r="K10" s="8">
        <f>COUNTIF(B10:H10,"OFF")+COUNTIF(B10:H10,"L")+COUNTBLANK(B10:H10)</f>
        <v/>
      </c>
    </row>
    <row r="11">
      <c r="A11" s="9" t="inlineStr">
        <is>
          <t>Employee 7</t>
        </is>
      </c>
      <c r="B11" s="8" t="inlineStr">
        <is>
          <t>OFF</t>
        </is>
      </c>
      <c r="C11" s="8" t="inlineStr">
        <is>
          <t>E</t>
        </is>
      </c>
      <c r="D11" s="8" t="inlineStr">
        <is>
          <t>E</t>
        </is>
      </c>
      <c r="E11" s="8" t="inlineStr">
        <is>
          <t>E</t>
        </is>
      </c>
      <c r="F11" s="8" t="inlineStr">
        <is>
          <t>E</t>
        </is>
      </c>
      <c r="G11" s="12" t="inlineStr">
        <is>
          <t>OFF</t>
        </is>
      </c>
      <c r="H11" s="12" t="inlineStr">
        <is>
          <t>OFF</t>
        </is>
      </c>
      <c r="I11" s="10">
        <f>SUMPRODUCT(COUNTIF(B11:H11,Shifts!$A$5:$A$10)*Shifts!$E$5:$E$10)</f>
        <v/>
      </c>
      <c r="J11" s="8">
        <f>COUNTA(B11:H11)-COUNTIF(B11:H11,"OFF")-COUNTIF(B11:H11,"L")</f>
        <v/>
      </c>
      <c r="K11" s="8">
        <f>COUNTIF(B11:H11,"OFF")+COUNTIF(B11:H11,"L")+COUNTBLANK(B11:H11)</f>
        <v/>
      </c>
    </row>
    <row r="12">
      <c r="A12" s="9" t="inlineStr">
        <is>
          <t>Employee 8</t>
        </is>
      </c>
      <c r="B12" s="8" t="inlineStr">
        <is>
          <t>OFF</t>
        </is>
      </c>
      <c r="C12" s="8" t="inlineStr">
        <is>
          <t>OFF</t>
        </is>
      </c>
      <c r="D12" s="8" t="inlineStr">
        <is>
          <t>OFF</t>
        </is>
      </c>
      <c r="E12" s="8" t="inlineStr">
        <is>
          <t>N</t>
        </is>
      </c>
      <c r="F12" s="8" t="inlineStr">
        <is>
          <t>N</t>
        </is>
      </c>
      <c r="G12" s="12" t="inlineStr">
        <is>
          <t>N</t>
        </is>
      </c>
      <c r="H12" s="12" t="inlineStr">
        <is>
          <t>N</t>
        </is>
      </c>
      <c r="I12" s="10">
        <f>SUMPRODUCT(COUNTIF(B12:H12,Shifts!$A$5:$A$10)*Shifts!$E$5:$E$10)</f>
        <v/>
      </c>
      <c r="J12" s="8">
        <f>COUNTA(B12:H12)-COUNTIF(B12:H12,"OFF")-COUNTIF(B12:H12,"L")</f>
        <v/>
      </c>
      <c r="K12" s="8">
        <f>COUNTIF(B12:H12,"OFF")+COUNTIF(B12:H12,"L")+COUNTBLANK(B12:H12)</f>
        <v/>
      </c>
    </row>
    <row r="13">
      <c r="A13" s="13" t="inlineStr">
        <is>
          <t>Total (insert employees above this row)</t>
        </is>
      </c>
      <c r="I13" s="14">
        <f>SUM(I5:I12)</f>
        <v/>
      </c>
      <c r="J13" s="15">
        <f>SUM(J5:J12)</f>
        <v/>
      </c>
      <c r="K13" s="15">
        <f>SUM(K5:K12)</f>
        <v/>
      </c>
    </row>
    <row r="15">
      <c r="A15" s="16" t="inlineStr">
        <is>
          <t>Coverage: people per shift per day</t>
        </is>
      </c>
    </row>
    <row r="16">
      <c r="A16" s="9" t="inlineStr">
        <is>
          <t>Morning (M)</t>
        </is>
      </c>
      <c r="B16" s="8">
        <f>COUNTIF(B5:B12,"M")</f>
        <v/>
      </c>
      <c r="C16" s="8">
        <f>COUNTIF(C5:C12,"M")</f>
        <v/>
      </c>
      <c r="D16" s="8">
        <f>COUNTIF(D5:D12,"M")</f>
        <v/>
      </c>
      <c r="E16" s="8">
        <f>COUNTIF(E5:E12,"M")</f>
        <v/>
      </c>
      <c r="F16" s="8">
        <f>COUNTIF(F5:F12,"M")</f>
        <v/>
      </c>
      <c r="G16" s="8">
        <f>COUNTIF(G5:G12,"M")</f>
        <v/>
      </c>
      <c r="H16" s="8">
        <f>COUNTIF(H5:H12,"M")</f>
        <v/>
      </c>
    </row>
    <row r="17">
      <c r="A17" s="9" t="inlineStr">
        <is>
          <t>Day (D)</t>
        </is>
      </c>
      <c r="B17" s="8">
        <f>COUNTIF(B5:B12,"D")</f>
        <v/>
      </c>
      <c r="C17" s="8">
        <f>COUNTIF(C5:C12,"D")</f>
        <v/>
      </c>
      <c r="D17" s="8">
        <f>COUNTIF(D5:D12,"D")</f>
        <v/>
      </c>
      <c r="E17" s="8">
        <f>COUNTIF(E5:E12,"D")</f>
        <v/>
      </c>
      <c r="F17" s="8">
        <f>COUNTIF(F5:F12,"D")</f>
        <v/>
      </c>
      <c r="G17" s="8">
        <f>COUNTIF(G5:G12,"D")</f>
        <v/>
      </c>
      <c r="H17" s="8">
        <f>COUNTIF(H5:H12,"D")</f>
        <v/>
      </c>
    </row>
    <row r="18">
      <c r="A18" s="9" t="inlineStr">
        <is>
          <t>Evening (E)</t>
        </is>
      </c>
      <c r="B18" s="8">
        <f>COUNTIF(B5:B12,"E")</f>
        <v/>
      </c>
      <c r="C18" s="8">
        <f>COUNTIF(C5:C12,"E")</f>
        <v/>
      </c>
      <c r="D18" s="8">
        <f>COUNTIF(D5:D12,"E")</f>
        <v/>
      </c>
      <c r="E18" s="8">
        <f>COUNTIF(E5:E12,"E")</f>
        <v/>
      </c>
      <c r="F18" s="8">
        <f>COUNTIF(F5:F12,"E")</f>
        <v/>
      </c>
      <c r="G18" s="8">
        <f>COUNTIF(G5:G12,"E")</f>
        <v/>
      </c>
      <c r="H18" s="8">
        <f>COUNTIF(H5:H12,"E")</f>
        <v/>
      </c>
    </row>
    <row r="19">
      <c r="A19" s="9" t="inlineStr">
        <is>
          <t>Night (N)</t>
        </is>
      </c>
      <c r="B19" s="8">
        <f>COUNTIF(B5:B12,"N")</f>
        <v/>
      </c>
      <c r="C19" s="8">
        <f>COUNTIF(C5:C12,"N")</f>
        <v/>
      </c>
      <c r="D19" s="8">
        <f>COUNTIF(D5:D12,"N")</f>
        <v/>
      </c>
      <c r="E19" s="8">
        <f>COUNTIF(E5:E12,"N")</f>
        <v/>
      </c>
      <c r="F19" s="8">
        <f>COUNTIF(F5:F12,"N")</f>
        <v/>
      </c>
      <c r="G19" s="8">
        <f>COUNTIF(G5:G12,"N")</f>
        <v/>
      </c>
      <c r="H19" s="8">
        <f>COUNTIF(H5:H12,"N")</f>
        <v/>
      </c>
    </row>
  </sheetData>
  <dataValidations count="1">
    <dataValidation sqref="B5 B6 B7 B8 B9 B10 B11 B12 C5 C6 C7 C8 C9 C10 C11 C12 D5 D6 D7 D8 D9 D10 D11 D12 E5 E6 E7 E8 E9 E10 E11 E12 F5 F6 F7 F8 F9 F10 F11 F12 G5 G6 G7 G8 G9 G10 G11 G12 H5 H6 H7 H8 H9 H10 H11 H12" showDropDown="0" showInputMessage="0" showErrorMessage="0" allowBlank="1" errorTitle="Unknown shift code" error="Pick a shift code from the Shifts sheet, or leave the cell empty." type="list">
      <formula1>"M,D,E,N,OFF,L"</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AI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9" customWidth="1" min="33" max="33"/>
    <col width="9" customWidth="1" min="34" max="34"/>
    <col width="10" customWidth="1" min="35" max="35"/>
  </cols>
  <sheetData>
    <row r="1">
      <c r="A1" s="5" t="inlineStr">
        <is>
          <t>Monthly employee schedule</t>
        </is>
      </c>
    </row>
    <row r="2">
      <c r="A2" s="6" t="inlineStr">
        <is>
          <t>Month starts on:</t>
        </is>
      </c>
      <c r="B2" s="11" t="inlineStr">
        <is>
          <t>2026-11-01</t>
        </is>
      </c>
      <c r="D2" s="6" t="inlineStr">
        <is>
          <t>Type the month's first day in B2. Day names follow; days past the end of the month show blank.</t>
        </is>
      </c>
    </row>
    <row r="4" ht="32" customHeight="1">
      <c r="A4" s="7" t="inlineStr">
        <is>
          <t>Employee</t>
        </is>
      </c>
      <c r="B4" s="7">
        <f>IF(MONTH(DATEVALUE($B$2)+0)&lt;&gt;MONTH(DATEVALUE($B$2)),"",TEXT(DATEVALUE($B$2)+0,"ddd")&amp;CHAR(10)&amp;1)</f>
        <v/>
      </c>
      <c r="C4" s="7">
        <f>IF(MONTH(DATEVALUE($B$2)+1)&lt;&gt;MONTH(DATEVALUE($B$2)),"",TEXT(DATEVALUE($B$2)+1,"ddd")&amp;CHAR(10)&amp;2)</f>
        <v/>
      </c>
      <c r="D4" s="7">
        <f>IF(MONTH(DATEVALUE($B$2)+2)&lt;&gt;MONTH(DATEVALUE($B$2)),"",TEXT(DATEVALUE($B$2)+2,"ddd")&amp;CHAR(10)&amp;3)</f>
        <v/>
      </c>
      <c r="E4" s="7">
        <f>IF(MONTH(DATEVALUE($B$2)+3)&lt;&gt;MONTH(DATEVALUE($B$2)),"",TEXT(DATEVALUE($B$2)+3,"ddd")&amp;CHAR(10)&amp;4)</f>
        <v/>
      </c>
      <c r="F4" s="7">
        <f>IF(MONTH(DATEVALUE($B$2)+4)&lt;&gt;MONTH(DATEVALUE($B$2)),"",TEXT(DATEVALUE($B$2)+4,"ddd")&amp;CHAR(10)&amp;5)</f>
        <v/>
      </c>
      <c r="G4" s="7">
        <f>IF(MONTH(DATEVALUE($B$2)+5)&lt;&gt;MONTH(DATEVALUE($B$2)),"",TEXT(DATEVALUE($B$2)+5,"ddd")&amp;CHAR(10)&amp;6)</f>
        <v/>
      </c>
      <c r="H4" s="7">
        <f>IF(MONTH(DATEVALUE($B$2)+6)&lt;&gt;MONTH(DATEVALUE($B$2)),"",TEXT(DATEVALUE($B$2)+6,"ddd")&amp;CHAR(10)&amp;7)</f>
        <v/>
      </c>
      <c r="I4" s="7">
        <f>IF(MONTH(DATEVALUE($B$2)+7)&lt;&gt;MONTH(DATEVALUE($B$2)),"",TEXT(DATEVALUE($B$2)+7,"ddd")&amp;CHAR(10)&amp;8)</f>
        <v/>
      </c>
      <c r="J4" s="7">
        <f>IF(MONTH(DATEVALUE($B$2)+8)&lt;&gt;MONTH(DATEVALUE($B$2)),"",TEXT(DATEVALUE($B$2)+8,"ddd")&amp;CHAR(10)&amp;9)</f>
        <v/>
      </c>
      <c r="K4" s="7">
        <f>IF(MONTH(DATEVALUE($B$2)+9)&lt;&gt;MONTH(DATEVALUE($B$2)),"",TEXT(DATEVALUE($B$2)+9,"ddd")&amp;CHAR(10)&amp;10)</f>
        <v/>
      </c>
      <c r="L4" s="7">
        <f>IF(MONTH(DATEVALUE($B$2)+10)&lt;&gt;MONTH(DATEVALUE($B$2)),"",TEXT(DATEVALUE($B$2)+10,"ddd")&amp;CHAR(10)&amp;11)</f>
        <v/>
      </c>
      <c r="M4" s="7">
        <f>IF(MONTH(DATEVALUE($B$2)+11)&lt;&gt;MONTH(DATEVALUE($B$2)),"",TEXT(DATEVALUE($B$2)+11,"ddd")&amp;CHAR(10)&amp;12)</f>
        <v/>
      </c>
      <c r="N4" s="7">
        <f>IF(MONTH(DATEVALUE($B$2)+12)&lt;&gt;MONTH(DATEVALUE($B$2)),"",TEXT(DATEVALUE($B$2)+12,"ddd")&amp;CHAR(10)&amp;13)</f>
        <v/>
      </c>
      <c r="O4" s="7">
        <f>IF(MONTH(DATEVALUE($B$2)+13)&lt;&gt;MONTH(DATEVALUE($B$2)),"",TEXT(DATEVALUE($B$2)+13,"ddd")&amp;CHAR(10)&amp;14)</f>
        <v/>
      </c>
      <c r="P4" s="7">
        <f>IF(MONTH(DATEVALUE($B$2)+14)&lt;&gt;MONTH(DATEVALUE($B$2)),"",TEXT(DATEVALUE($B$2)+14,"ddd")&amp;CHAR(10)&amp;15)</f>
        <v/>
      </c>
      <c r="Q4" s="7">
        <f>IF(MONTH(DATEVALUE($B$2)+15)&lt;&gt;MONTH(DATEVALUE($B$2)),"",TEXT(DATEVALUE($B$2)+15,"ddd")&amp;CHAR(10)&amp;16)</f>
        <v/>
      </c>
      <c r="R4" s="7">
        <f>IF(MONTH(DATEVALUE($B$2)+16)&lt;&gt;MONTH(DATEVALUE($B$2)),"",TEXT(DATEVALUE($B$2)+16,"ddd")&amp;CHAR(10)&amp;17)</f>
        <v/>
      </c>
      <c r="S4" s="7">
        <f>IF(MONTH(DATEVALUE($B$2)+17)&lt;&gt;MONTH(DATEVALUE($B$2)),"",TEXT(DATEVALUE($B$2)+17,"ddd")&amp;CHAR(10)&amp;18)</f>
        <v/>
      </c>
      <c r="T4" s="7">
        <f>IF(MONTH(DATEVALUE($B$2)+18)&lt;&gt;MONTH(DATEVALUE($B$2)),"",TEXT(DATEVALUE($B$2)+18,"ddd")&amp;CHAR(10)&amp;19)</f>
        <v/>
      </c>
      <c r="U4" s="7">
        <f>IF(MONTH(DATEVALUE($B$2)+19)&lt;&gt;MONTH(DATEVALUE($B$2)),"",TEXT(DATEVALUE($B$2)+19,"ddd")&amp;CHAR(10)&amp;20)</f>
        <v/>
      </c>
      <c r="V4" s="7">
        <f>IF(MONTH(DATEVALUE($B$2)+20)&lt;&gt;MONTH(DATEVALUE($B$2)),"",TEXT(DATEVALUE($B$2)+20,"ddd")&amp;CHAR(10)&amp;21)</f>
        <v/>
      </c>
      <c r="W4" s="7">
        <f>IF(MONTH(DATEVALUE($B$2)+21)&lt;&gt;MONTH(DATEVALUE($B$2)),"",TEXT(DATEVALUE($B$2)+21,"ddd")&amp;CHAR(10)&amp;22)</f>
        <v/>
      </c>
      <c r="X4" s="7">
        <f>IF(MONTH(DATEVALUE($B$2)+22)&lt;&gt;MONTH(DATEVALUE($B$2)),"",TEXT(DATEVALUE($B$2)+22,"ddd")&amp;CHAR(10)&amp;23)</f>
        <v/>
      </c>
      <c r="Y4" s="7">
        <f>IF(MONTH(DATEVALUE($B$2)+23)&lt;&gt;MONTH(DATEVALUE($B$2)),"",TEXT(DATEVALUE($B$2)+23,"ddd")&amp;CHAR(10)&amp;24)</f>
        <v/>
      </c>
      <c r="Z4" s="7">
        <f>IF(MONTH(DATEVALUE($B$2)+24)&lt;&gt;MONTH(DATEVALUE($B$2)),"",TEXT(DATEVALUE($B$2)+24,"ddd")&amp;CHAR(10)&amp;25)</f>
        <v/>
      </c>
      <c r="AA4" s="7">
        <f>IF(MONTH(DATEVALUE($B$2)+25)&lt;&gt;MONTH(DATEVALUE($B$2)),"",TEXT(DATEVALUE($B$2)+25,"ddd")&amp;CHAR(10)&amp;26)</f>
        <v/>
      </c>
      <c r="AB4" s="7">
        <f>IF(MONTH(DATEVALUE($B$2)+26)&lt;&gt;MONTH(DATEVALUE($B$2)),"",TEXT(DATEVALUE($B$2)+26,"ddd")&amp;CHAR(10)&amp;27)</f>
        <v/>
      </c>
      <c r="AC4" s="7">
        <f>IF(MONTH(DATEVALUE($B$2)+27)&lt;&gt;MONTH(DATEVALUE($B$2)),"",TEXT(DATEVALUE($B$2)+27,"ddd")&amp;CHAR(10)&amp;28)</f>
        <v/>
      </c>
      <c r="AD4" s="7">
        <f>IF(MONTH(DATEVALUE($B$2)+28)&lt;&gt;MONTH(DATEVALUE($B$2)),"",TEXT(DATEVALUE($B$2)+28,"ddd")&amp;CHAR(10)&amp;29)</f>
        <v/>
      </c>
      <c r="AE4" s="7">
        <f>IF(MONTH(DATEVALUE($B$2)+29)&lt;&gt;MONTH(DATEVALUE($B$2)),"",TEXT(DATEVALUE($B$2)+29,"ddd")&amp;CHAR(10)&amp;30)</f>
        <v/>
      </c>
      <c r="AF4" s="7">
        <f>IF(MONTH(DATEVALUE($B$2)+30)&lt;&gt;MONTH(DATEVALUE($B$2)),"",TEXT(DATEVALUE($B$2)+30,"ddd")&amp;CHAR(10)&amp;31)</f>
        <v/>
      </c>
      <c r="AG4" s="7" t="inlineStr">
        <is>
          <t>Hours</t>
        </is>
      </c>
      <c r="AH4" s="7" t="inlineStr">
        <is>
          <t>Shifts</t>
        </is>
      </c>
      <c r="AI4" s="7" t="inlineStr">
        <is>
          <t>Days off</t>
        </is>
      </c>
    </row>
    <row r="5">
      <c r="A5" s="9" t="inlineStr">
        <is>
          <t>Employee 1</t>
        </is>
      </c>
      <c r="B5" s="8" t="n"/>
      <c r="C5" s="8" t="n"/>
      <c r="D5" s="8" t="n"/>
      <c r="E5" s="8" t="n"/>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10">
        <f>SUMPRODUCT(COUNTIF(B5:AF5,Shifts!$A$5:$A$10)*Shifts!$E$5:$E$10)</f>
        <v/>
      </c>
      <c r="AH5" s="8">
        <f>COUNTA(B5:AF5)-COUNTIF(B5:AF5,"OFF")-COUNTIF(B5:AF5,"L")</f>
        <v/>
      </c>
      <c r="AI5" s="8">
        <f>COUNTIF(B5:AF5,"OFF")+COUNTIF(B5:AF5,"L")+COUNTBLANK(B5:AF5)</f>
        <v/>
      </c>
    </row>
    <row r="6">
      <c r="A6" s="9" t="inlineStr">
        <is>
          <t>Employee 2</t>
        </is>
      </c>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10">
        <f>SUMPRODUCT(COUNTIF(B6:AF6,Shifts!$A$5:$A$10)*Shifts!$E$5:$E$10)</f>
        <v/>
      </c>
      <c r="AH6" s="8">
        <f>COUNTA(B6:AF6)-COUNTIF(B6:AF6,"OFF")-COUNTIF(B6:AF6,"L")</f>
        <v/>
      </c>
      <c r="AI6" s="8">
        <f>COUNTIF(B6:AF6,"OFF")+COUNTIF(B6:AF6,"L")+COUNTBLANK(B6:AF6)</f>
        <v/>
      </c>
    </row>
    <row r="7">
      <c r="A7" s="9" t="inlineStr">
        <is>
          <t>Employee 3</t>
        </is>
      </c>
      <c r="B7" s="8" t="n"/>
      <c r="C7" s="8" t="n"/>
      <c r="D7" s="8" t="n"/>
      <c r="E7" s="8" t="n"/>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10">
        <f>SUMPRODUCT(COUNTIF(B7:AF7,Shifts!$A$5:$A$10)*Shifts!$E$5:$E$10)</f>
        <v/>
      </c>
      <c r="AH7" s="8">
        <f>COUNTA(B7:AF7)-COUNTIF(B7:AF7,"OFF")-COUNTIF(B7:AF7,"L")</f>
        <v/>
      </c>
      <c r="AI7" s="8">
        <f>COUNTIF(B7:AF7,"OFF")+COUNTIF(B7:AF7,"L")+COUNTBLANK(B7:AF7)</f>
        <v/>
      </c>
    </row>
    <row r="8">
      <c r="A8" s="9" t="inlineStr">
        <is>
          <t>Employee 4</t>
        </is>
      </c>
      <c r="B8" s="8" t="n"/>
      <c r="C8" s="8" t="n"/>
      <c r="D8" s="8" t="n"/>
      <c r="E8" s="8" t="n"/>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10">
        <f>SUMPRODUCT(COUNTIF(B8:AF8,Shifts!$A$5:$A$10)*Shifts!$E$5:$E$10)</f>
        <v/>
      </c>
      <c r="AH8" s="8">
        <f>COUNTA(B8:AF8)-COUNTIF(B8:AF8,"OFF")-COUNTIF(B8:AF8,"L")</f>
        <v/>
      </c>
      <c r="AI8" s="8">
        <f>COUNTIF(B8:AF8,"OFF")+COUNTIF(B8:AF8,"L")+COUNTBLANK(B8:AF8)</f>
        <v/>
      </c>
    </row>
    <row r="9">
      <c r="A9" s="9" t="inlineStr">
        <is>
          <t>Employee 5</t>
        </is>
      </c>
      <c r="B9" s="8" t="n"/>
      <c r="C9" s="8" t="n"/>
      <c r="D9" s="8" t="n"/>
      <c r="E9" s="8" t="n"/>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10">
        <f>SUMPRODUCT(COUNTIF(B9:AF9,Shifts!$A$5:$A$10)*Shifts!$E$5:$E$10)</f>
        <v/>
      </c>
      <c r="AH9" s="8">
        <f>COUNTA(B9:AF9)-COUNTIF(B9:AF9,"OFF")-COUNTIF(B9:AF9,"L")</f>
        <v/>
      </c>
      <c r="AI9" s="8">
        <f>COUNTIF(B9:AF9,"OFF")+COUNTIF(B9:AF9,"L")+COUNTBLANK(B9:AF9)</f>
        <v/>
      </c>
    </row>
    <row r="10">
      <c r="A10" s="9" t="inlineStr">
        <is>
          <t>Employee 6</t>
        </is>
      </c>
      <c r="B10" s="8" t="n"/>
      <c r="C10" s="8" t="n"/>
      <c r="D10" s="8" t="n"/>
      <c r="E10" s="8" t="n"/>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10">
        <f>SUMPRODUCT(COUNTIF(B10:AF10,Shifts!$A$5:$A$10)*Shifts!$E$5:$E$10)</f>
        <v/>
      </c>
      <c r="AH10" s="8">
        <f>COUNTA(B10:AF10)-COUNTIF(B10:AF10,"OFF")-COUNTIF(B10:AF10,"L")</f>
        <v/>
      </c>
      <c r="AI10" s="8">
        <f>COUNTIF(B10:AF10,"OFF")+COUNTIF(B10:AF10,"L")+COUNTBLANK(B10:AF10)</f>
        <v/>
      </c>
    </row>
    <row r="11">
      <c r="A11" s="9" t="inlineStr">
        <is>
          <t>Employee 7</t>
        </is>
      </c>
      <c r="B11" s="8" t="n"/>
      <c r="C11" s="8" t="n"/>
      <c r="D11" s="8" t="n"/>
      <c r="E11" s="8" t="n"/>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10">
        <f>SUMPRODUCT(COUNTIF(B11:AF11,Shifts!$A$5:$A$10)*Shifts!$E$5:$E$10)</f>
        <v/>
      </c>
      <c r="AH11" s="8">
        <f>COUNTA(B11:AF11)-COUNTIF(B11:AF11,"OFF")-COUNTIF(B11:AF11,"L")</f>
        <v/>
      </c>
      <c r="AI11" s="8">
        <f>COUNTIF(B11:AF11,"OFF")+COUNTIF(B11:AF11,"L")+COUNTBLANK(B11:AF11)</f>
        <v/>
      </c>
    </row>
    <row r="12">
      <c r="A12" s="9" t="inlineStr">
        <is>
          <t>Employee 8</t>
        </is>
      </c>
      <c r="B12" s="8" t="n"/>
      <c r="C12" s="8" t="n"/>
      <c r="D12" s="8" t="n"/>
      <c r="E12" s="8" t="n"/>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10">
        <f>SUMPRODUCT(COUNTIF(B12:AF12,Shifts!$A$5:$A$10)*Shifts!$E$5:$E$10)</f>
        <v/>
      </c>
      <c r="AH12" s="8">
        <f>COUNTA(B12:AF12)-COUNTIF(B12:AF12,"OFF")-COUNTIF(B12:AF12,"L")</f>
        <v/>
      </c>
      <c r="AI12" s="8">
        <f>COUNTIF(B12:AF12,"OFF")+COUNTIF(B12:AF12,"L")+COUNTBLANK(B12:AF12)</f>
        <v/>
      </c>
    </row>
    <row r="13">
      <c r="A13" s="13" t="inlineStr">
        <is>
          <t>Total (insert employees above this row)</t>
        </is>
      </c>
      <c r="AG13" s="14">
        <f>SUM(AG5:AG12)</f>
        <v/>
      </c>
      <c r="AH13" s="15">
        <f>SUM(AH5:AH12)</f>
        <v/>
      </c>
      <c r="AI13" s="15">
        <f>SUM(AI5:AI12)</f>
        <v/>
      </c>
    </row>
    <row r="15">
      <c r="A15" s="16" t="inlineStr">
        <is>
          <t>Coverage: people per shift per day</t>
        </is>
      </c>
    </row>
    <row r="16">
      <c r="A16" s="9" t="inlineStr">
        <is>
          <t>Morning (M)</t>
        </is>
      </c>
      <c r="B16" s="8">
        <f>COUNTIF(B5:B12,"M")</f>
        <v/>
      </c>
      <c r="C16" s="8">
        <f>COUNTIF(C5:C12,"M")</f>
        <v/>
      </c>
      <c r="D16" s="8">
        <f>COUNTIF(D5:D12,"M")</f>
        <v/>
      </c>
      <c r="E16" s="8">
        <f>COUNTIF(E5:E12,"M")</f>
        <v/>
      </c>
      <c r="F16" s="8">
        <f>COUNTIF(F5:F12,"M")</f>
        <v/>
      </c>
      <c r="G16" s="8">
        <f>COUNTIF(G5:G12,"M")</f>
        <v/>
      </c>
      <c r="H16" s="8">
        <f>COUNTIF(H5:H12,"M")</f>
        <v/>
      </c>
      <c r="I16" s="8">
        <f>COUNTIF(I5:I12,"M")</f>
        <v/>
      </c>
      <c r="J16" s="8">
        <f>COUNTIF(J5:J12,"M")</f>
        <v/>
      </c>
      <c r="K16" s="8">
        <f>COUNTIF(K5:K12,"M")</f>
        <v/>
      </c>
      <c r="L16" s="8">
        <f>COUNTIF(L5:L12,"M")</f>
        <v/>
      </c>
      <c r="M16" s="8">
        <f>COUNTIF(M5:M12,"M")</f>
        <v/>
      </c>
      <c r="N16" s="8">
        <f>COUNTIF(N5:N12,"M")</f>
        <v/>
      </c>
      <c r="O16" s="8">
        <f>COUNTIF(O5:O12,"M")</f>
        <v/>
      </c>
      <c r="P16" s="8">
        <f>COUNTIF(P5:P12,"M")</f>
        <v/>
      </c>
      <c r="Q16" s="8">
        <f>COUNTIF(Q5:Q12,"M")</f>
        <v/>
      </c>
      <c r="R16" s="8">
        <f>COUNTIF(R5:R12,"M")</f>
        <v/>
      </c>
      <c r="S16" s="8">
        <f>COUNTIF(S5:S12,"M")</f>
        <v/>
      </c>
      <c r="T16" s="8">
        <f>COUNTIF(T5:T12,"M")</f>
        <v/>
      </c>
      <c r="U16" s="8">
        <f>COUNTIF(U5:U12,"M")</f>
        <v/>
      </c>
      <c r="V16" s="8">
        <f>COUNTIF(V5:V12,"M")</f>
        <v/>
      </c>
      <c r="W16" s="8">
        <f>COUNTIF(W5:W12,"M")</f>
        <v/>
      </c>
      <c r="X16" s="8">
        <f>COUNTIF(X5:X12,"M")</f>
        <v/>
      </c>
      <c r="Y16" s="8">
        <f>COUNTIF(Y5:Y12,"M")</f>
        <v/>
      </c>
      <c r="Z16" s="8">
        <f>COUNTIF(Z5:Z12,"M")</f>
        <v/>
      </c>
      <c r="AA16" s="8">
        <f>COUNTIF(AA5:AA12,"M")</f>
        <v/>
      </c>
      <c r="AB16" s="8">
        <f>COUNTIF(AB5:AB12,"M")</f>
        <v/>
      </c>
      <c r="AC16" s="8">
        <f>COUNTIF(AC5:AC12,"M")</f>
        <v/>
      </c>
      <c r="AD16" s="8">
        <f>COUNTIF(AD5:AD12,"M")</f>
        <v/>
      </c>
      <c r="AE16" s="8">
        <f>COUNTIF(AE5:AE12,"M")</f>
        <v/>
      </c>
      <c r="AF16" s="8">
        <f>COUNTIF(AF5:AF12,"M")</f>
        <v/>
      </c>
    </row>
    <row r="17">
      <c r="A17" s="9" t="inlineStr">
        <is>
          <t>Day (D)</t>
        </is>
      </c>
      <c r="B17" s="8">
        <f>COUNTIF(B5:B12,"D")</f>
        <v/>
      </c>
      <c r="C17" s="8">
        <f>COUNTIF(C5:C12,"D")</f>
        <v/>
      </c>
      <c r="D17" s="8">
        <f>COUNTIF(D5:D12,"D")</f>
        <v/>
      </c>
      <c r="E17" s="8">
        <f>COUNTIF(E5:E12,"D")</f>
        <v/>
      </c>
      <c r="F17" s="8">
        <f>COUNTIF(F5:F12,"D")</f>
        <v/>
      </c>
      <c r="G17" s="8">
        <f>COUNTIF(G5:G12,"D")</f>
        <v/>
      </c>
      <c r="H17" s="8">
        <f>COUNTIF(H5:H12,"D")</f>
        <v/>
      </c>
      <c r="I17" s="8">
        <f>COUNTIF(I5:I12,"D")</f>
        <v/>
      </c>
      <c r="J17" s="8">
        <f>COUNTIF(J5:J12,"D")</f>
        <v/>
      </c>
      <c r="K17" s="8">
        <f>COUNTIF(K5:K12,"D")</f>
        <v/>
      </c>
      <c r="L17" s="8">
        <f>COUNTIF(L5:L12,"D")</f>
        <v/>
      </c>
      <c r="M17" s="8">
        <f>COUNTIF(M5:M12,"D")</f>
        <v/>
      </c>
      <c r="N17" s="8">
        <f>COUNTIF(N5:N12,"D")</f>
        <v/>
      </c>
      <c r="O17" s="8">
        <f>COUNTIF(O5:O12,"D")</f>
        <v/>
      </c>
      <c r="P17" s="8">
        <f>COUNTIF(P5:P12,"D")</f>
        <v/>
      </c>
      <c r="Q17" s="8">
        <f>COUNTIF(Q5:Q12,"D")</f>
        <v/>
      </c>
      <c r="R17" s="8">
        <f>COUNTIF(R5:R12,"D")</f>
        <v/>
      </c>
      <c r="S17" s="8">
        <f>COUNTIF(S5:S12,"D")</f>
        <v/>
      </c>
      <c r="T17" s="8">
        <f>COUNTIF(T5:T12,"D")</f>
        <v/>
      </c>
      <c r="U17" s="8">
        <f>COUNTIF(U5:U12,"D")</f>
        <v/>
      </c>
      <c r="V17" s="8">
        <f>COUNTIF(V5:V12,"D")</f>
        <v/>
      </c>
      <c r="W17" s="8">
        <f>COUNTIF(W5:W12,"D")</f>
        <v/>
      </c>
      <c r="X17" s="8">
        <f>COUNTIF(X5:X12,"D")</f>
        <v/>
      </c>
      <c r="Y17" s="8">
        <f>COUNTIF(Y5:Y12,"D")</f>
        <v/>
      </c>
      <c r="Z17" s="8">
        <f>COUNTIF(Z5:Z12,"D")</f>
        <v/>
      </c>
      <c r="AA17" s="8">
        <f>COUNTIF(AA5:AA12,"D")</f>
        <v/>
      </c>
      <c r="AB17" s="8">
        <f>COUNTIF(AB5:AB12,"D")</f>
        <v/>
      </c>
      <c r="AC17" s="8">
        <f>COUNTIF(AC5:AC12,"D")</f>
        <v/>
      </c>
      <c r="AD17" s="8">
        <f>COUNTIF(AD5:AD12,"D")</f>
        <v/>
      </c>
      <c r="AE17" s="8">
        <f>COUNTIF(AE5:AE12,"D")</f>
        <v/>
      </c>
      <c r="AF17" s="8">
        <f>COUNTIF(AF5:AF12,"D")</f>
        <v/>
      </c>
    </row>
    <row r="18">
      <c r="A18" s="9" t="inlineStr">
        <is>
          <t>Evening (E)</t>
        </is>
      </c>
      <c r="B18" s="8">
        <f>COUNTIF(B5:B12,"E")</f>
        <v/>
      </c>
      <c r="C18" s="8">
        <f>COUNTIF(C5:C12,"E")</f>
        <v/>
      </c>
      <c r="D18" s="8">
        <f>COUNTIF(D5:D12,"E")</f>
        <v/>
      </c>
      <c r="E18" s="8">
        <f>COUNTIF(E5:E12,"E")</f>
        <v/>
      </c>
      <c r="F18" s="8">
        <f>COUNTIF(F5:F12,"E")</f>
        <v/>
      </c>
      <c r="G18" s="8">
        <f>COUNTIF(G5:G12,"E")</f>
        <v/>
      </c>
      <c r="H18" s="8">
        <f>COUNTIF(H5:H12,"E")</f>
        <v/>
      </c>
      <c r="I18" s="8">
        <f>COUNTIF(I5:I12,"E")</f>
        <v/>
      </c>
      <c r="J18" s="8">
        <f>COUNTIF(J5:J12,"E")</f>
        <v/>
      </c>
      <c r="K18" s="8">
        <f>COUNTIF(K5:K12,"E")</f>
        <v/>
      </c>
      <c r="L18" s="8">
        <f>COUNTIF(L5:L12,"E")</f>
        <v/>
      </c>
      <c r="M18" s="8">
        <f>COUNTIF(M5:M12,"E")</f>
        <v/>
      </c>
      <c r="N18" s="8">
        <f>COUNTIF(N5:N12,"E")</f>
        <v/>
      </c>
      <c r="O18" s="8">
        <f>COUNTIF(O5:O12,"E")</f>
        <v/>
      </c>
      <c r="P18" s="8">
        <f>COUNTIF(P5:P12,"E")</f>
        <v/>
      </c>
      <c r="Q18" s="8">
        <f>COUNTIF(Q5:Q12,"E")</f>
        <v/>
      </c>
      <c r="R18" s="8">
        <f>COUNTIF(R5:R12,"E")</f>
        <v/>
      </c>
      <c r="S18" s="8">
        <f>COUNTIF(S5:S12,"E")</f>
        <v/>
      </c>
      <c r="T18" s="8">
        <f>COUNTIF(T5:T12,"E")</f>
        <v/>
      </c>
      <c r="U18" s="8">
        <f>COUNTIF(U5:U12,"E")</f>
        <v/>
      </c>
      <c r="V18" s="8">
        <f>COUNTIF(V5:V12,"E")</f>
        <v/>
      </c>
      <c r="W18" s="8">
        <f>COUNTIF(W5:W12,"E")</f>
        <v/>
      </c>
      <c r="X18" s="8">
        <f>COUNTIF(X5:X12,"E")</f>
        <v/>
      </c>
      <c r="Y18" s="8">
        <f>COUNTIF(Y5:Y12,"E")</f>
        <v/>
      </c>
      <c r="Z18" s="8">
        <f>COUNTIF(Z5:Z12,"E")</f>
        <v/>
      </c>
      <c r="AA18" s="8">
        <f>COUNTIF(AA5:AA12,"E")</f>
        <v/>
      </c>
      <c r="AB18" s="8">
        <f>COUNTIF(AB5:AB12,"E")</f>
        <v/>
      </c>
      <c r="AC18" s="8">
        <f>COUNTIF(AC5:AC12,"E")</f>
        <v/>
      </c>
      <c r="AD18" s="8">
        <f>COUNTIF(AD5:AD12,"E")</f>
        <v/>
      </c>
      <c r="AE18" s="8">
        <f>COUNTIF(AE5:AE12,"E")</f>
        <v/>
      </c>
      <c r="AF18" s="8">
        <f>COUNTIF(AF5:AF12,"E")</f>
        <v/>
      </c>
    </row>
    <row r="19">
      <c r="A19" s="9" t="inlineStr">
        <is>
          <t>Night (N)</t>
        </is>
      </c>
      <c r="B19" s="8">
        <f>COUNTIF(B5:B12,"N")</f>
        <v/>
      </c>
      <c r="C19" s="8">
        <f>COUNTIF(C5:C12,"N")</f>
        <v/>
      </c>
      <c r="D19" s="8">
        <f>COUNTIF(D5:D12,"N")</f>
        <v/>
      </c>
      <c r="E19" s="8">
        <f>COUNTIF(E5:E12,"N")</f>
        <v/>
      </c>
      <c r="F19" s="8">
        <f>COUNTIF(F5:F12,"N")</f>
        <v/>
      </c>
      <c r="G19" s="8">
        <f>COUNTIF(G5:G12,"N")</f>
        <v/>
      </c>
      <c r="H19" s="8">
        <f>COUNTIF(H5:H12,"N")</f>
        <v/>
      </c>
      <c r="I19" s="8">
        <f>COUNTIF(I5:I12,"N")</f>
        <v/>
      </c>
      <c r="J19" s="8">
        <f>COUNTIF(J5:J12,"N")</f>
        <v/>
      </c>
      <c r="K19" s="8">
        <f>COUNTIF(K5:K12,"N")</f>
        <v/>
      </c>
      <c r="L19" s="8">
        <f>COUNTIF(L5:L12,"N")</f>
        <v/>
      </c>
      <c r="M19" s="8">
        <f>COUNTIF(M5:M12,"N")</f>
        <v/>
      </c>
      <c r="N19" s="8">
        <f>COUNTIF(N5:N12,"N")</f>
        <v/>
      </c>
      <c r="O19" s="8">
        <f>COUNTIF(O5:O12,"N")</f>
        <v/>
      </c>
      <c r="P19" s="8">
        <f>COUNTIF(P5:P12,"N")</f>
        <v/>
      </c>
      <c r="Q19" s="8">
        <f>COUNTIF(Q5:Q12,"N")</f>
        <v/>
      </c>
      <c r="R19" s="8">
        <f>COUNTIF(R5:R12,"N")</f>
        <v/>
      </c>
      <c r="S19" s="8">
        <f>COUNTIF(S5:S12,"N")</f>
        <v/>
      </c>
      <c r="T19" s="8">
        <f>COUNTIF(T5:T12,"N")</f>
        <v/>
      </c>
      <c r="U19" s="8">
        <f>COUNTIF(U5:U12,"N")</f>
        <v/>
      </c>
      <c r="V19" s="8">
        <f>COUNTIF(V5:V12,"N")</f>
        <v/>
      </c>
      <c r="W19" s="8">
        <f>COUNTIF(W5:W12,"N")</f>
        <v/>
      </c>
      <c r="X19" s="8">
        <f>COUNTIF(X5:X12,"N")</f>
        <v/>
      </c>
      <c r="Y19" s="8">
        <f>COUNTIF(Y5:Y12,"N")</f>
        <v/>
      </c>
      <c r="Z19" s="8">
        <f>COUNTIF(Z5:Z12,"N")</f>
        <v/>
      </c>
      <c r="AA19" s="8">
        <f>COUNTIF(AA5:AA12,"N")</f>
        <v/>
      </c>
      <c r="AB19" s="8">
        <f>COUNTIF(AB5:AB12,"N")</f>
        <v/>
      </c>
      <c r="AC19" s="8">
        <f>COUNTIF(AC5:AC12,"N")</f>
        <v/>
      </c>
      <c r="AD19" s="8">
        <f>COUNTIF(AD5:AD12,"N")</f>
        <v/>
      </c>
      <c r="AE19" s="8">
        <f>COUNTIF(AE5:AE12,"N")</f>
        <v/>
      </c>
      <c r="AF19" s="8">
        <f>COUNTIF(AF5:AF12,"N")</f>
        <v/>
      </c>
    </row>
  </sheetData>
  <dataValidations count="1">
    <dataValidation sqref="B5 B6 B7 B8 B9 B10 B11 B12 C5 C6 C7 C8 C9 C10 C11 C12 D5 D6 D7 D8 D9 D10 D11 D12 E5 E6 E7 E8 E9 E10 E11 E12 F5 F6 F7 F8 F9 F10 F11 F12 G5 G6 G7 G8 G9 G10 G11 G12 H5 H6 H7 H8 H9 H10 H11 H12 I5 I6 I7 I8 I9 I10 I11 I12 J5 J6 J7 J8 J9 J10 J11 J12 K5 K6 K7 K8 K9 K10 K11 K12 L5 L6 L7 L8 L9 L10 L11 L12 M5 M6 M7 M8 M9 M10 M11 M12 N5 N6 N7 N8 N9 N10 N11 N12 O5 O6 O7 O8 O9 O10 O11 O12 P5 P6 P7 P8 P9 P10 P11 P12 Q5 Q6 Q7 Q8 Q9 Q10 Q11 Q12 R5 R6 R7 R8 R9 R10 R11 R12 S5 S6 S7 S8 S9 S10 S11 S12 T5 T6 T7 T8 T9 T10 T11 T12 U5 U6 U7 U8 U9 U10 U11 U12 V5 V6 V7 V8 V9 V10 V11 V12 W5 W6 W7 W8 W9 W10 W11 W12 X5 X6 X7 X8 X9 X10 X11 X12 Y5 Y6 Y7 Y8 Y9 Y10 Y11 Y12 Z5 Z6 Z7 Z8 Z9 Z10 Z11 Z12 AA5 AA6 AA7 AA8 AA9 AA10 AA11 AA12 AB5 AB6 AB7 AB8 AB9 AB10 AB11 AB12 AC5 AC6 AC7 AC8 AC9 AC10 AC11 AC12 AD5 AD6 AD7 AD8 AD9 AD10 AD11 AD12 AE5 AE6 AE7 AE8 AE9 AE10 AE11 AE12 AF5 AF6 AF7 AF8 AF9 AF10 AF11 AF12" showDropDown="0" showInputMessage="0" showErrorMessage="0" allowBlank="1" errorTitle="Unknown shift code" error="Pick a shift code from the Shifts sheet, or leave the cell empty." type="list">
      <formula1>"M,D,E,N,OFF,L"</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2026-10-30T04:58:50Z</dcterms:created>
  <dcterms:modified xmlns:dcterms="http://purl.org/dc/terms/" xmlns:xsi="http://www.w3.org/2001/XMLSchema-instance" xsi:type="dcterms:W3CDTF">2026-10-30T04:58:50Z</dcterms:modified>
</cp:coreProperties>
</file>